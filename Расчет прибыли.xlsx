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7256" windowHeight="5772"/>
  </bookViews>
  <sheets>
    <sheet name="Расчет прибыли на n-количество " sheetId="1" r:id="rId1"/>
    <sheet name="Лист5" sheetId="2" state="hidden" r:id="rId2"/>
    <sheet name="Прочие расходы" sheetId="3" r:id="rId3"/>
    <sheet name="Лист6" sheetId="4" r:id="rId4"/>
    <sheet name="Лист7" sheetId="5" r:id="rId5"/>
    <sheet name="Лист4" sheetId="6" r:id="rId6"/>
  </sheets>
  <calcPr calcId="162913"/>
</workbook>
</file>

<file path=xl/calcChain.xml><?xml version="1.0" encoding="utf-8"?>
<calcChain xmlns="http://schemas.openxmlformats.org/spreadsheetml/2006/main">
  <c r="H13" i="5" l="1"/>
  <c r="I13" i="5" s="1"/>
  <c r="J13" i="5" s="1"/>
  <c r="E13" i="5"/>
  <c r="H12" i="5"/>
  <c r="I12" i="5" s="1"/>
  <c r="J12" i="5" s="1"/>
  <c r="E12" i="5"/>
  <c r="H11" i="5"/>
  <c r="I11" i="5" s="1"/>
  <c r="J11" i="5" s="1"/>
  <c r="E11" i="5"/>
  <c r="H10" i="5"/>
  <c r="I10" i="5" s="1"/>
  <c r="J10" i="5" s="1"/>
  <c r="E10" i="5"/>
  <c r="H9" i="5"/>
  <c r="I9" i="5" s="1"/>
  <c r="J9" i="5" s="1"/>
  <c r="E9" i="5"/>
  <c r="H8" i="5"/>
  <c r="I8" i="5" s="1"/>
  <c r="J8" i="5" s="1"/>
  <c r="E8" i="5"/>
  <c r="H7" i="5"/>
  <c r="I7" i="5" s="1"/>
  <c r="J7" i="5" s="1"/>
  <c r="E7" i="5"/>
  <c r="H6" i="5"/>
  <c r="E6" i="5"/>
  <c r="I6" i="5" s="1"/>
  <c r="J6" i="5" s="1"/>
  <c r="H5" i="5"/>
  <c r="E5" i="5"/>
  <c r="I5" i="5" s="1"/>
  <c r="J5" i="5" s="1"/>
  <c r="H4" i="5"/>
  <c r="E4" i="5"/>
  <c r="I4" i="5" s="1"/>
  <c r="J4" i="5" s="1"/>
  <c r="H3" i="5"/>
  <c r="E3" i="5"/>
  <c r="I3" i="5" s="1"/>
  <c r="J3" i="5" s="1"/>
  <c r="H2" i="5"/>
  <c r="E2" i="5"/>
  <c r="I2" i="5" s="1"/>
  <c r="J2" i="5" s="1"/>
  <c r="N14" i="3"/>
  <c r="K14" i="3"/>
  <c r="I14" i="3"/>
  <c r="F14" i="3"/>
  <c r="D14" i="3"/>
  <c r="A14" i="3"/>
  <c r="N10" i="3"/>
  <c r="K10" i="3"/>
  <c r="I10" i="3"/>
  <c r="F10" i="3"/>
  <c r="D10" i="3"/>
  <c r="A10" i="3"/>
  <c r="N6" i="3"/>
  <c r="K6" i="3"/>
  <c r="I6" i="3"/>
  <c r="F6" i="3"/>
  <c r="D6" i="3"/>
  <c r="A6" i="3"/>
  <c r="N2" i="3"/>
  <c r="K2" i="3"/>
  <c r="I2" i="3"/>
  <c r="F2" i="3"/>
  <c r="D2" i="3"/>
  <c r="A2" i="3"/>
  <c r="I20" i="1"/>
  <c r="J20" i="1" s="1"/>
  <c r="E20" i="1"/>
  <c r="H19" i="1"/>
  <c r="I19" i="1" s="1"/>
  <c r="J19" i="1" s="1"/>
  <c r="E19" i="1"/>
  <c r="H18" i="1"/>
  <c r="I18" i="1" s="1"/>
  <c r="J18" i="1" s="1"/>
  <c r="E18" i="1"/>
  <c r="H17" i="1"/>
  <c r="I17" i="1" s="1"/>
  <c r="J17" i="1" s="1"/>
  <c r="E17" i="1"/>
  <c r="E16" i="1"/>
  <c r="I16" i="1" s="1"/>
  <c r="J16" i="1" s="1"/>
  <c r="H15" i="1"/>
  <c r="I15" i="1" s="1"/>
  <c r="J15" i="1" s="1"/>
  <c r="E15" i="1"/>
  <c r="H14" i="1"/>
  <c r="I14" i="1" s="1"/>
  <c r="J14" i="1" s="1"/>
  <c r="E14" i="1"/>
  <c r="H13" i="1"/>
  <c r="I13" i="1" s="1"/>
  <c r="J13" i="1" s="1"/>
  <c r="E13" i="1"/>
  <c r="H12" i="1"/>
  <c r="I12" i="1" s="1"/>
  <c r="J12" i="1" s="1"/>
  <c r="E12" i="1"/>
  <c r="H11" i="1"/>
  <c r="I11" i="1" s="1"/>
  <c r="J11" i="1" s="1"/>
  <c r="E11" i="1"/>
  <c r="H10" i="1"/>
  <c r="I10" i="1" s="1"/>
  <c r="J10" i="1" s="1"/>
  <c r="E10" i="1"/>
  <c r="H9" i="1"/>
  <c r="I9" i="1" s="1"/>
  <c r="J9" i="1" s="1"/>
  <c r="E9" i="1"/>
  <c r="H8" i="1"/>
  <c r="I8" i="1" s="1"/>
  <c r="J8" i="1" s="1"/>
  <c r="E8" i="1"/>
  <c r="H7" i="1"/>
  <c r="I7" i="1" s="1"/>
  <c r="J7" i="1" s="1"/>
  <c r="E7" i="1"/>
  <c r="H6" i="1"/>
  <c r="I6" i="1" s="1"/>
  <c r="J6" i="1" s="1"/>
  <c r="E6" i="1"/>
  <c r="H5" i="1"/>
  <c r="I5" i="1" s="1"/>
  <c r="J5" i="1" s="1"/>
  <c r="E5" i="1"/>
  <c r="H4" i="1"/>
  <c r="I4" i="1" s="1"/>
  <c r="J4" i="1" s="1"/>
  <c r="E4" i="1"/>
  <c r="H3" i="1"/>
  <c r="I3" i="1" s="1"/>
  <c r="J3" i="1" s="1"/>
  <c r="E3" i="1"/>
  <c r="H2" i="1"/>
  <c r="I2" i="1" s="1"/>
  <c r="J2" i="1" s="1"/>
  <c r="E2" i="1"/>
</calcChain>
</file>

<file path=xl/sharedStrings.xml><?xml version="1.0" encoding="utf-8"?>
<sst xmlns="http://schemas.openxmlformats.org/spreadsheetml/2006/main" count="100" uniqueCount="38">
  <si>
    <t>Наименование</t>
  </si>
  <si>
    <t>Цена продажи 1 ед.</t>
  </si>
  <si>
    <t>Цена закупа 1 ед.</t>
  </si>
  <si>
    <t>Кол-во</t>
  </si>
  <si>
    <t>Прочие расходы</t>
  </si>
  <si>
    <t>Комиссия</t>
  </si>
  <si>
    <t>Логистика</t>
  </si>
  <si>
    <t>Хранение</t>
  </si>
  <si>
    <t>Прибыль</t>
  </si>
  <si>
    <t>Прибыль после вычета налогов (6%)</t>
  </si>
  <si>
    <t>Дневная ставка хранения</t>
  </si>
  <si>
    <t>Кошелек черный</t>
  </si>
  <si>
    <t>Обложка для паспорта</t>
  </si>
  <si>
    <t>Кол-во дней хранения</t>
  </si>
  <si>
    <t>Данные в серых ячейках вычисляются автоматически, остальные ячейки редактируемые</t>
  </si>
  <si>
    <t>В столбец "Логистика" вводятся расходы на всю партию.
Данные в столбец "Прочие расход" подтягиваются автоматически и расчитываются на всю партию</t>
  </si>
  <si>
    <t>Наименование товара</t>
  </si>
  <si>
    <t xml:space="preserve">Наименование расхода </t>
  </si>
  <si>
    <t>Цена</t>
  </si>
  <si>
    <t>Итого</t>
  </si>
  <si>
    <t>упаковка</t>
  </si>
  <si>
    <t>Расход 1</t>
  </si>
  <si>
    <t>Расход 2</t>
  </si>
  <si>
    <t xml:space="preserve">Расход 3 </t>
  </si>
  <si>
    <t xml:space="preserve">Расход 4 </t>
  </si>
  <si>
    <t>турки</t>
  </si>
  <si>
    <t>подогрев</t>
  </si>
  <si>
    <t xml:space="preserve">Брюки </t>
  </si>
  <si>
    <t>Товар 4</t>
  </si>
  <si>
    <t>Товар 5</t>
  </si>
  <si>
    <t>Товар 6</t>
  </si>
  <si>
    <t>Товар 7</t>
  </si>
  <si>
    <t>Товар 8</t>
  </si>
  <si>
    <t>Товар 9</t>
  </si>
  <si>
    <t>Товар 10</t>
  </si>
  <si>
    <t>Товар 11</t>
  </si>
  <si>
    <t>Товар 12</t>
  </si>
  <si>
    <t>Головные уборы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</si>
</sst>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10"/>
      <name val="Arial"/>
    </font>
    <font>
      <sz val="9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5" borderId="0" xfId="0" applyFont="1" applyFill="1"/>
    <xf numFmtId="0" fontId="4" fillId="5" borderId="0" xfId="0" applyFont="1" applyFill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10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5" borderId="4" xfId="0" applyFont="1" applyFill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4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2" fillId="4" borderId="1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0"/>
  <sheetViews>
    <sheetView showGridLines="0" tabSelected="1" workbookViewId="0">
      <selection activeCell="J4" sqref="J4"/>
    </sheetView>
  </sheetViews>
  <sheetFormatPr defaultColWidth="14.44140625" defaultRowHeight="15.75" customHeight="1" x14ac:dyDescent="0.25"/>
  <cols>
    <col min="1" max="1" width="17.33203125" customWidth="1"/>
    <col min="2" max="2" width="19.109375" customWidth="1"/>
    <col min="3" max="3" width="17.33203125" customWidth="1"/>
    <col min="4" max="4" width="14" customWidth="1"/>
    <col min="5" max="5" width="16" customWidth="1"/>
    <col min="8" max="8" width="18.44140625" customWidth="1"/>
    <col min="9" max="9" width="11.6640625" customWidth="1"/>
    <col min="10" max="10" width="33.88671875" customWidth="1"/>
    <col min="11" max="11" width="2.44140625" customWidth="1"/>
    <col min="12" max="12" width="10.88671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4" t="s">
        <v>10</v>
      </c>
      <c r="M1" s="25"/>
    </row>
    <row r="2" spans="1:13" x14ac:dyDescent="0.25">
      <c r="A2" s="2" t="s">
        <v>11</v>
      </c>
      <c r="B2" s="2">
        <v>990</v>
      </c>
      <c r="C2" s="2">
        <v>450</v>
      </c>
      <c r="D2" s="2">
        <v>1</v>
      </c>
      <c r="E2" s="3">
        <f>'Прочие расходы'!D2</f>
        <v>0</v>
      </c>
      <c r="F2" s="4">
        <v>0.1</v>
      </c>
      <c r="G2" s="2">
        <v>65</v>
      </c>
      <c r="H2" s="5">
        <f>$L$5*$L$2*D2</f>
        <v>3.5000000000000004</v>
      </c>
      <c r="I2" s="5">
        <f t="shared" ref="I2:I20" si="0">ROUND(((B2*D2)*(1-F2)-G2-(C2*D2)-H2-E2),0)</f>
        <v>373</v>
      </c>
      <c r="J2" s="5">
        <f t="shared" ref="J2:J20" si="1">ROUND(I2*(1-6%),0)</f>
        <v>351</v>
      </c>
      <c r="L2" s="32">
        <v>7.0000000000000007E-2</v>
      </c>
      <c r="M2" s="25"/>
    </row>
    <row r="3" spans="1:13" x14ac:dyDescent="0.25">
      <c r="A3" s="2" t="s">
        <v>12</v>
      </c>
      <c r="B3" s="2">
        <v>600</v>
      </c>
      <c r="C3" s="2">
        <v>200</v>
      </c>
      <c r="D3" s="2">
        <v>100</v>
      </c>
      <c r="E3" s="3">
        <f>'Прочие расходы'!D6</f>
        <v>0</v>
      </c>
      <c r="F3" s="6">
        <v>0.1</v>
      </c>
      <c r="G3" s="2">
        <v>55</v>
      </c>
      <c r="H3" s="5">
        <f>($L$5*$L$2)*D3</f>
        <v>350.00000000000006</v>
      </c>
      <c r="I3" s="5">
        <f t="shared" si="0"/>
        <v>33595</v>
      </c>
      <c r="J3" s="5">
        <f t="shared" si="1"/>
        <v>31579</v>
      </c>
    </row>
    <row r="4" spans="1:13" x14ac:dyDescent="0.25">
      <c r="A4" s="31" t="s">
        <v>37</v>
      </c>
      <c r="B4" s="2">
        <v>450</v>
      </c>
      <c r="C4" s="2">
        <v>150</v>
      </c>
      <c r="D4" s="2">
        <v>1</v>
      </c>
      <c r="E4" s="3">
        <f>'Прочие расходы'!D10</f>
        <v>0</v>
      </c>
      <c r="F4" s="6">
        <v>0.15</v>
      </c>
      <c r="G4" s="2"/>
      <c r="H4" s="5">
        <f>$L$5*$L$2*D4</f>
        <v>3.5000000000000004</v>
      </c>
      <c r="I4" s="5">
        <f t="shared" si="0"/>
        <v>229</v>
      </c>
      <c r="J4" s="5">
        <f t="shared" si="1"/>
        <v>215</v>
      </c>
      <c r="L4" s="24" t="s">
        <v>13</v>
      </c>
      <c r="M4" s="25"/>
    </row>
    <row r="5" spans="1:13" x14ac:dyDescent="0.25">
      <c r="A5" s="2"/>
      <c r="B5" s="2"/>
      <c r="C5" s="2"/>
      <c r="D5" s="2"/>
      <c r="E5" s="3">
        <f>'Прочие расходы'!D14</f>
        <v>0</v>
      </c>
      <c r="F5" s="6">
        <v>0.15</v>
      </c>
      <c r="G5" s="2"/>
      <c r="H5" s="5">
        <f>($L$5*$L$2)*D5</f>
        <v>0</v>
      </c>
      <c r="I5" s="5">
        <f t="shared" si="0"/>
        <v>0</v>
      </c>
      <c r="J5" s="5">
        <f t="shared" si="1"/>
        <v>0</v>
      </c>
      <c r="L5" s="26">
        <v>50</v>
      </c>
      <c r="M5" s="25"/>
    </row>
    <row r="6" spans="1:13" x14ac:dyDescent="0.25">
      <c r="A6" s="2"/>
      <c r="B6" s="2"/>
      <c r="C6" s="2"/>
      <c r="D6" s="2"/>
      <c r="E6" s="3">
        <f>'Прочие расходы'!I2</f>
        <v>0</v>
      </c>
      <c r="F6" s="6"/>
      <c r="G6" s="2"/>
      <c r="H6" s="5">
        <f>$L$5*$L$2*D6</f>
        <v>0</v>
      </c>
      <c r="I6" s="5">
        <f t="shared" si="0"/>
        <v>0</v>
      </c>
      <c r="J6" s="5">
        <f t="shared" si="1"/>
        <v>0</v>
      </c>
      <c r="L6" s="7"/>
      <c r="M6" s="7"/>
    </row>
    <row r="7" spans="1:13" x14ac:dyDescent="0.25">
      <c r="A7" s="2"/>
      <c r="B7" s="2"/>
      <c r="C7" s="2"/>
      <c r="D7" s="2"/>
      <c r="E7" s="3">
        <f>'Прочие расходы'!I6</f>
        <v>0</v>
      </c>
      <c r="F7" s="6"/>
      <c r="G7" s="2"/>
      <c r="H7" s="5">
        <f>($L$5*$L$2)*D7</f>
        <v>0</v>
      </c>
      <c r="I7" s="5">
        <f t="shared" si="0"/>
        <v>0</v>
      </c>
      <c r="J7" s="5">
        <f t="shared" si="1"/>
        <v>0</v>
      </c>
    </row>
    <row r="8" spans="1:13" x14ac:dyDescent="0.25">
      <c r="A8" s="2"/>
      <c r="B8" s="2"/>
      <c r="C8" s="2"/>
      <c r="D8" s="2"/>
      <c r="E8" s="3">
        <f>'Прочие расходы'!I10</f>
        <v>0</v>
      </c>
      <c r="F8" s="6"/>
      <c r="G8" s="2"/>
      <c r="H8" s="5">
        <f>$L$5*$L$2*D8</f>
        <v>0</v>
      </c>
      <c r="I8" s="5">
        <f t="shared" si="0"/>
        <v>0</v>
      </c>
      <c r="J8" s="5">
        <f t="shared" si="1"/>
        <v>0</v>
      </c>
    </row>
    <row r="9" spans="1:13" x14ac:dyDescent="0.25">
      <c r="A9" s="2"/>
      <c r="B9" s="2"/>
      <c r="C9" s="2"/>
      <c r="D9" s="2"/>
      <c r="E9" s="3">
        <f>'Прочие расходы'!I14</f>
        <v>0</v>
      </c>
      <c r="F9" s="6"/>
      <c r="G9" s="2"/>
      <c r="H9" s="5">
        <f>($L$5*$L$2)*D9</f>
        <v>0</v>
      </c>
      <c r="I9" s="5">
        <f t="shared" si="0"/>
        <v>0</v>
      </c>
      <c r="J9" s="5">
        <f t="shared" si="1"/>
        <v>0</v>
      </c>
    </row>
    <row r="10" spans="1:13" x14ac:dyDescent="0.25">
      <c r="A10" s="2"/>
      <c r="B10" s="2"/>
      <c r="C10" s="2"/>
      <c r="D10" s="2"/>
      <c r="E10" s="3">
        <f>'Прочие расходы'!N2</f>
        <v>0</v>
      </c>
      <c r="F10" s="6"/>
      <c r="G10" s="2"/>
      <c r="H10" s="5">
        <f>$L$5*$L$2*D10</f>
        <v>0</v>
      </c>
      <c r="I10" s="5">
        <f t="shared" si="0"/>
        <v>0</v>
      </c>
      <c r="J10" s="5">
        <f t="shared" si="1"/>
        <v>0</v>
      </c>
      <c r="L10" s="18" t="s">
        <v>14</v>
      </c>
      <c r="M10" s="19"/>
    </row>
    <row r="11" spans="1:13" x14ac:dyDescent="0.25">
      <c r="A11" s="2"/>
      <c r="B11" s="2"/>
      <c r="C11" s="2"/>
      <c r="D11" s="2"/>
      <c r="E11" s="3">
        <f>'Прочие расходы'!N6</f>
        <v>0</v>
      </c>
      <c r="F11" s="6"/>
      <c r="G11" s="2"/>
      <c r="H11" s="5">
        <f>($L$5*$L$2)*D11</f>
        <v>0</v>
      </c>
      <c r="I11" s="5">
        <f t="shared" si="0"/>
        <v>0</v>
      </c>
      <c r="J11" s="5">
        <f t="shared" si="1"/>
        <v>0</v>
      </c>
      <c r="L11" s="20"/>
      <c r="M11" s="21"/>
    </row>
    <row r="12" spans="1:13" x14ac:dyDescent="0.25">
      <c r="A12" s="2"/>
      <c r="B12" s="2"/>
      <c r="C12" s="2"/>
      <c r="D12" s="2"/>
      <c r="E12" s="3">
        <f>'Прочие расходы'!N10</f>
        <v>0</v>
      </c>
      <c r="F12" s="6"/>
      <c r="G12" s="2"/>
      <c r="H12" s="5">
        <f>$L$5*$L$2*D12</f>
        <v>0</v>
      </c>
      <c r="I12" s="5">
        <f t="shared" si="0"/>
        <v>0</v>
      </c>
      <c r="J12" s="5">
        <f t="shared" si="1"/>
        <v>0</v>
      </c>
      <c r="L12" s="22"/>
      <c r="M12" s="23"/>
    </row>
    <row r="13" spans="1:13" x14ac:dyDescent="0.25">
      <c r="A13" s="2"/>
      <c r="B13" s="2"/>
      <c r="C13" s="2"/>
      <c r="D13" s="2"/>
      <c r="E13" s="3">
        <f>'Прочие расходы'!N14</f>
        <v>0</v>
      </c>
      <c r="F13" s="6"/>
      <c r="G13" s="2"/>
      <c r="H13" s="5">
        <f>($L$5*$L$2)*D13</f>
        <v>0</v>
      </c>
      <c r="I13" s="5">
        <f t="shared" si="0"/>
        <v>0</v>
      </c>
      <c r="J13" s="5">
        <f t="shared" si="1"/>
        <v>0</v>
      </c>
      <c r="L13" s="8"/>
      <c r="M13" s="8"/>
    </row>
    <row r="14" spans="1:13" x14ac:dyDescent="0.25">
      <c r="A14" s="2"/>
      <c r="B14" s="2"/>
      <c r="C14" s="2"/>
      <c r="D14" s="2"/>
      <c r="E14" s="3">
        <f>'Прочие расходы'!N15</f>
        <v>0</v>
      </c>
      <c r="F14" s="6"/>
      <c r="G14" s="2"/>
      <c r="H14" s="5">
        <f>$L$5*$L$2*D14</f>
        <v>0</v>
      </c>
      <c r="I14" s="5">
        <f t="shared" si="0"/>
        <v>0</v>
      </c>
      <c r="J14" s="5">
        <f t="shared" si="1"/>
        <v>0</v>
      </c>
      <c r="L14" s="18" t="s">
        <v>15</v>
      </c>
      <c r="M14" s="19"/>
    </row>
    <row r="15" spans="1:13" x14ac:dyDescent="0.25">
      <c r="A15" s="2"/>
      <c r="B15" s="2"/>
      <c r="C15" s="2"/>
      <c r="D15" s="2"/>
      <c r="E15" s="3">
        <f>'Прочие расходы'!N16</f>
        <v>0</v>
      </c>
      <c r="F15" s="6"/>
      <c r="G15" s="2"/>
      <c r="H15" s="5">
        <f>($L$5*$L$2)*D15</f>
        <v>0</v>
      </c>
      <c r="I15" s="5">
        <f t="shared" si="0"/>
        <v>0</v>
      </c>
      <c r="J15" s="5">
        <f t="shared" si="1"/>
        <v>0</v>
      </c>
      <c r="L15" s="20"/>
      <c r="M15" s="21"/>
    </row>
    <row r="16" spans="1:13" x14ac:dyDescent="0.25">
      <c r="A16" s="2"/>
      <c r="B16" s="2"/>
      <c r="C16" s="2"/>
      <c r="D16" s="2"/>
      <c r="E16" s="3">
        <f>'Прочие расходы'!N17</f>
        <v>0</v>
      </c>
      <c r="F16" s="6"/>
      <c r="G16" s="2"/>
      <c r="H16" s="3">
        <v>3</v>
      </c>
      <c r="I16" s="5">
        <f t="shared" si="0"/>
        <v>-3</v>
      </c>
      <c r="J16" s="5">
        <f t="shared" si="1"/>
        <v>-3</v>
      </c>
      <c r="L16" s="20"/>
      <c r="M16" s="21"/>
    </row>
    <row r="17" spans="1:13" x14ac:dyDescent="0.25">
      <c r="A17" s="2"/>
      <c r="B17" s="2"/>
      <c r="C17" s="2"/>
      <c r="D17" s="2"/>
      <c r="E17" s="3">
        <f>'Прочие расходы'!N18</f>
        <v>0</v>
      </c>
      <c r="F17" s="6"/>
      <c r="G17" s="2"/>
      <c r="H17" s="5">
        <f>($L$5*$L$2)*D17</f>
        <v>0</v>
      </c>
      <c r="I17" s="5">
        <f t="shared" si="0"/>
        <v>0</v>
      </c>
      <c r="J17" s="5">
        <f t="shared" si="1"/>
        <v>0</v>
      </c>
      <c r="L17" s="20"/>
      <c r="M17" s="21"/>
    </row>
    <row r="18" spans="1:13" x14ac:dyDescent="0.25">
      <c r="A18" s="2"/>
      <c r="B18" s="2"/>
      <c r="C18" s="2"/>
      <c r="D18" s="2"/>
      <c r="E18" s="3">
        <f>'Прочие расходы'!N19</f>
        <v>0</v>
      </c>
      <c r="F18" s="6"/>
      <c r="G18" s="2"/>
      <c r="H18" s="5">
        <f>$L$5*$L$2*D18</f>
        <v>0</v>
      </c>
      <c r="I18" s="5">
        <f t="shared" si="0"/>
        <v>0</v>
      </c>
      <c r="J18" s="5">
        <f t="shared" si="1"/>
        <v>0</v>
      </c>
      <c r="L18" s="22"/>
      <c r="M18" s="23"/>
    </row>
    <row r="19" spans="1:13" x14ac:dyDescent="0.25">
      <c r="A19" s="2"/>
      <c r="B19" s="2"/>
      <c r="C19" s="2"/>
      <c r="D19" s="2"/>
      <c r="E19" s="3">
        <f>'Прочие расходы'!N20</f>
        <v>0</v>
      </c>
      <c r="F19" s="6"/>
      <c r="G19" s="2"/>
      <c r="H19" s="5">
        <f>($L$5*$L$2)*D19</f>
        <v>0</v>
      </c>
      <c r="I19" s="5">
        <f t="shared" si="0"/>
        <v>0</v>
      </c>
      <c r="J19" s="5">
        <f t="shared" si="1"/>
        <v>0</v>
      </c>
      <c r="L19" s="8"/>
      <c r="M19" s="8"/>
    </row>
    <row r="20" spans="1:13" x14ac:dyDescent="0.25">
      <c r="A20" s="2"/>
      <c r="B20" s="2"/>
      <c r="C20" s="2"/>
      <c r="D20" s="2"/>
      <c r="E20" s="3">
        <f>'Прочие расходы'!N21</f>
        <v>0</v>
      </c>
      <c r="F20" s="6"/>
      <c r="G20" s="2"/>
      <c r="H20" s="5"/>
      <c r="I20" s="5">
        <f t="shared" si="0"/>
        <v>0</v>
      </c>
      <c r="J20" s="5">
        <f t="shared" si="1"/>
        <v>0</v>
      </c>
      <c r="L20" s="8"/>
      <c r="M20" s="8"/>
    </row>
  </sheetData>
  <mergeCells count="6">
    <mergeCell ref="L14:M18"/>
    <mergeCell ref="L1:M1"/>
    <mergeCell ref="L2:M2"/>
    <mergeCell ref="L4:M4"/>
    <mergeCell ref="L5:M5"/>
    <mergeCell ref="L10:M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41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7"/>
  <sheetViews>
    <sheetView showGridLines="0" workbookViewId="0"/>
  </sheetViews>
  <sheetFormatPr defaultColWidth="14.44140625" defaultRowHeight="15.75" customHeight="1" x14ac:dyDescent="0.25"/>
  <cols>
    <col min="1" max="1" width="21" customWidth="1"/>
    <col min="2" max="2" width="22.5546875" customWidth="1"/>
    <col min="3" max="3" width="10.5546875" customWidth="1"/>
    <col min="4" max="4" width="11.44140625" customWidth="1"/>
    <col min="5" max="5" width="9" customWidth="1"/>
    <col min="6" max="6" width="21.44140625" customWidth="1"/>
    <col min="7" max="7" width="23" customWidth="1"/>
    <col min="8" max="8" width="10.6640625" customWidth="1"/>
    <col min="9" max="9" width="11.6640625" customWidth="1"/>
    <col min="10" max="10" width="11" customWidth="1"/>
    <col min="11" max="11" width="22.6640625" customWidth="1"/>
    <col min="12" max="12" width="23.109375" customWidth="1"/>
    <col min="13" max="13" width="11.109375" customWidth="1"/>
    <col min="14" max="14" width="12.33203125" customWidth="1"/>
  </cols>
  <sheetData>
    <row r="1" spans="1:14" x14ac:dyDescent="0.25">
      <c r="A1" s="9" t="s">
        <v>16</v>
      </c>
      <c r="B1" s="1" t="s">
        <v>17</v>
      </c>
      <c r="C1" s="1" t="s">
        <v>18</v>
      </c>
      <c r="D1" s="1" t="s">
        <v>19</v>
      </c>
      <c r="E1" s="10"/>
      <c r="F1" s="9" t="s">
        <v>16</v>
      </c>
      <c r="G1" s="1" t="s">
        <v>17</v>
      </c>
      <c r="H1" s="1" t="s">
        <v>18</v>
      </c>
      <c r="I1" s="1" t="s">
        <v>19</v>
      </c>
      <c r="J1" s="11"/>
      <c r="K1" s="9" t="s">
        <v>16</v>
      </c>
      <c r="L1" s="1" t="s">
        <v>17</v>
      </c>
      <c r="M1" s="1" t="s">
        <v>18</v>
      </c>
      <c r="N1" s="1" t="s">
        <v>19</v>
      </c>
    </row>
    <row r="2" spans="1:14" x14ac:dyDescent="0.25">
      <c r="A2" s="27" t="str">
        <f>'Расчет прибыли на n-количество '!A2</f>
        <v>Кошелек черный</v>
      </c>
      <c r="B2" s="2" t="s">
        <v>20</v>
      </c>
      <c r="C2" s="2"/>
      <c r="D2" s="27">
        <f>SUM(C2:C5)</f>
        <v>0</v>
      </c>
      <c r="E2" s="11"/>
      <c r="F2" s="27">
        <f>'Расчет прибыли на n-количество '!A6</f>
        <v>0</v>
      </c>
      <c r="G2" s="2" t="s">
        <v>21</v>
      </c>
      <c r="H2" s="12"/>
      <c r="I2" s="27">
        <f>SUM(H2:H5)</f>
        <v>0</v>
      </c>
      <c r="J2" s="11"/>
      <c r="K2" s="27">
        <f>'Расчет прибыли на n-количество '!A10</f>
        <v>0</v>
      </c>
      <c r="L2" s="2" t="s">
        <v>21</v>
      </c>
      <c r="M2" s="12"/>
      <c r="N2" s="30">
        <f>SUM(M2:M5)</f>
        <v>0</v>
      </c>
    </row>
    <row r="3" spans="1:14" x14ac:dyDescent="0.25">
      <c r="A3" s="28"/>
      <c r="B3" s="2"/>
      <c r="C3" s="2"/>
      <c r="D3" s="28"/>
      <c r="E3" s="11"/>
      <c r="F3" s="28"/>
      <c r="G3" s="2" t="s">
        <v>22</v>
      </c>
      <c r="H3" s="12"/>
      <c r="I3" s="28"/>
      <c r="J3" s="11"/>
      <c r="K3" s="28"/>
      <c r="L3" s="2" t="s">
        <v>22</v>
      </c>
      <c r="M3" s="12"/>
      <c r="N3" s="28"/>
    </row>
    <row r="4" spans="1:14" x14ac:dyDescent="0.25">
      <c r="A4" s="28"/>
      <c r="B4" s="2"/>
      <c r="C4" s="2"/>
      <c r="D4" s="28"/>
      <c r="E4" s="11"/>
      <c r="F4" s="28"/>
      <c r="G4" s="2" t="s">
        <v>23</v>
      </c>
      <c r="H4" s="12"/>
      <c r="I4" s="28"/>
      <c r="J4" s="11"/>
      <c r="K4" s="28"/>
      <c r="L4" s="2" t="s">
        <v>23</v>
      </c>
      <c r="M4" s="12"/>
      <c r="N4" s="28"/>
    </row>
    <row r="5" spans="1:14" x14ac:dyDescent="0.25">
      <c r="A5" s="28"/>
      <c r="B5" s="2"/>
      <c r="C5" s="12"/>
      <c r="D5" s="29"/>
      <c r="E5" s="11"/>
      <c r="F5" s="28"/>
      <c r="G5" s="2" t="s">
        <v>24</v>
      </c>
      <c r="H5" s="12"/>
      <c r="I5" s="28"/>
      <c r="J5" s="11"/>
      <c r="K5" s="28"/>
      <c r="L5" s="2" t="s">
        <v>24</v>
      </c>
      <c r="M5" s="12"/>
      <c r="N5" s="28"/>
    </row>
    <row r="6" spans="1:14" x14ac:dyDescent="0.25">
      <c r="A6" s="27" t="str">
        <f>'Расчет прибыли на n-количество '!A3</f>
        <v>Обложка для паспорта</v>
      </c>
      <c r="B6" s="2" t="s">
        <v>21</v>
      </c>
      <c r="C6" s="2"/>
      <c r="D6" s="27">
        <f>SUM(C6:C9)</f>
        <v>0</v>
      </c>
      <c r="E6" s="11"/>
      <c r="F6" s="27">
        <f>'Расчет прибыли на n-количество '!A7</f>
        <v>0</v>
      </c>
      <c r="G6" s="2" t="s">
        <v>21</v>
      </c>
      <c r="H6" s="12"/>
      <c r="I6" s="27">
        <f>SUM(H6:H9)</f>
        <v>0</v>
      </c>
      <c r="J6" s="11"/>
      <c r="K6" s="27">
        <f>'Расчет прибыли на n-количество '!A11</f>
        <v>0</v>
      </c>
      <c r="L6" s="2" t="s">
        <v>21</v>
      </c>
      <c r="M6" s="12"/>
      <c r="N6" s="30">
        <f>SUM(M6:M9)</f>
        <v>0</v>
      </c>
    </row>
    <row r="7" spans="1:14" x14ac:dyDescent="0.25">
      <c r="A7" s="28"/>
      <c r="B7" s="2" t="s">
        <v>22</v>
      </c>
      <c r="C7" s="2"/>
      <c r="D7" s="28"/>
      <c r="E7" s="11"/>
      <c r="F7" s="28"/>
      <c r="G7" s="2" t="s">
        <v>22</v>
      </c>
      <c r="H7" s="12"/>
      <c r="I7" s="28"/>
      <c r="J7" s="11"/>
      <c r="K7" s="28"/>
      <c r="L7" s="2" t="s">
        <v>22</v>
      </c>
      <c r="M7" s="12"/>
      <c r="N7" s="28"/>
    </row>
    <row r="8" spans="1:14" x14ac:dyDescent="0.25">
      <c r="A8" s="28"/>
      <c r="B8" s="2" t="s">
        <v>23</v>
      </c>
      <c r="C8" s="2"/>
      <c r="D8" s="28"/>
      <c r="E8" s="11"/>
      <c r="F8" s="28"/>
      <c r="G8" s="2" t="s">
        <v>23</v>
      </c>
      <c r="H8" s="12"/>
      <c r="I8" s="28"/>
      <c r="J8" s="11"/>
      <c r="K8" s="28"/>
      <c r="L8" s="2" t="s">
        <v>23</v>
      </c>
      <c r="M8" s="12"/>
      <c r="N8" s="28"/>
    </row>
    <row r="9" spans="1:14" x14ac:dyDescent="0.25">
      <c r="A9" s="28"/>
      <c r="B9" s="2" t="s">
        <v>24</v>
      </c>
      <c r="C9" s="2"/>
      <c r="D9" s="29"/>
      <c r="E9" s="11"/>
      <c r="F9" s="28"/>
      <c r="G9" s="2" t="s">
        <v>24</v>
      </c>
      <c r="H9" s="12"/>
      <c r="I9" s="28"/>
      <c r="J9" s="11"/>
      <c r="K9" s="28"/>
      <c r="L9" s="2" t="s">
        <v>24</v>
      </c>
      <c r="M9" s="12"/>
      <c r="N9" s="28"/>
    </row>
    <row r="10" spans="1:14" x14ac:dyDescent="0.25">
      <c r="A10" s="27" t="str">
        <f>'Расчет прибыли на n-количество '!A4</f>
        <v>Головные уборы</v>
      </c>
      <c r="B10" s="2" t="s">
        <v>21</v>
      </c>
      <c r="C10" s="12"/>
      <c r="D10" s="27">
        <f>SUM(C10:C13)</f>
        <v>0</v>
      </c>
      <c r="E10" s="11"/>
      <c r="F10" s="27">
        <f>'Расчет прибыли на n-количество '!A8</f>
        <v>0</v>
      </c>
      <c r="G10" s="2" t="s">
        <v>21</v>
      </c>
      <c r="H10" s="12"/>
      <c r="I10" s="27">
        <f>SUM(H10:H13)</f>
        <v>0</v>
      </c>
      <c r="J10" s="11"/>
      <c r="K10" s="27">
        <f>'Расчет прибыли на n-количество '!A12</f>
        <v>0</v>
      </c>
      <c r="L10" s="2" t="s">
        <v>21</v>
      </c>
      <c r="M10" s="2"/>
      <c r="N10" s="30">
        <f>SUM(M10:M13)</f>
        <v>0</v>
      </c>
    </row>
    <row r="11" spans="1:14" x14ac:dyDescent="0.25">
      <c r="A11" s="28"/>
      <c r="B11" s="2" t="s">
        <v>22</v>
      </c>
      <c r="C11" s="12"/>
      <c r="D11" s="28"/>
      <c r="E11" s="11"/>
      <c r="F11" s="28"/>
      <c r="G11" s="2" t="s">
        <v>22</v>
      </c>
      <c r="H11" s="12"/>
      <c r="I11" s="28"/>
      <c r="J11" s="11"/>
      <c r="K11" s="28"/>
      <c r="L11" s="2" t="s">
        <v>22</v>
      </c>
      <c r="M11" s="12"/>
      <c r="N11" s="28"/>
    </row>
    <row r="12" spans="1:14" x14ac:dyDescent="0.25">
      <c r="A12" s="28"/>
      <c r="B12" s="2" t="s">
        <v>23</v>
      </c>
      <c r="C12" s="12"/>
      <c r="D12" s="28"/>
      <c r="E12" s="11"/>
      <c r="F12" s="28"/>
      <c r="G12" s="2" t="s">
        <v>23</v>
      </c>
      <c r="H12" s="12"/>
      <c r="I12" s="28"/>
      <c r="J12" s="11"/>
      <c r="K12" s="28"/>
      <c r="L12" s="2" t="s">
        <v>23</v>
      </c>
      <c r="M12" s="12"/>
      <c r="N12" s="28"/>
    </row>
    <row r="13" spans="1:14" x14ac:dyDescent="0.25">
      <c r="A13" s="28"/>
      <c r="B13" s="2" t="s">
        <v>24</v>
      </c>
      <c r="C13" s="12"/>
      <c r="D13" s="29"/>
      <c r="E13" s="11"/>
      <c r="F13" s="28"/>
      <c r="G13" s="2" t="s">
        <v>24</v>
      </c>
      <c r="H13" s="12"/>
      <c r="I13" s="28"/>
      <c r="J13" s="11"/>
      <c r="K13" s="28"/>
      <c r="L13" s="2" t="s">
        <v>24</v>
      </c>
      <c r="M13" s="12"/>
      <c r="N13" s="28"/>
    </row>
    <row r="14" spans="1:14" x14ac:dyDescent="0.25">
      <c r="A14" s="27">
        <f>'Расчет прибыли на n-количество '!A5</f>
        <v>0</v>
      </c>
      <c r="B14" s="2" t="s">
        <v>21</v>
      </c>
      <c r="C14" s="12"/>
      <c r="D14" s="27">
        <f>SUM(C14:C17)</f>
        <v>0</v>
      </c>
      <c r="E14" s="11"/>
      <c r="F14" s="27">
        <f>'Расчет прибыли на n-количество '!A9</f>
        <v>0</v>
      </c>
      <c r="G14" s="2" t="s">
        <v>21</v>
      </c>
      <c r="H14" s="12"/>
      <c r="I14" s="27">
        <f>SUM(H14:H17)</f>
        <v>0</v>
      </c>
      <c r="J14" s="11"/>
      <c r="K14" s="27">
        <f>'Расчет прибыли на n-количество '!A13</f>
        <v>0</v>
      </c>
      <c r="L14" s="2" t="s">
        <v>21</v>
      </c>
      <c r="M14" s="12"/>
      <c r="N14" s="30">
        <f>SUM(M14:M17)</f>
        <v>0</v>
      </c>
    </row>
    <row r="15" spans="1:14" x14ac:dyDescent="0.25">
      <c r="A15" s="28"/>
      <c r="B15" s="2" t="s">
        <v>22</v>
      </c>
      <c r="C15" s="12"/>
      <c r="D15" s="28"/>
      <c r="E15" s="11"/>
      <c r="F15" s="28"/>
      <c r="G15" s="2" t="s">
        <v>22</v>
      </c>
      <c r="H15" s="12"/>
      <c r="I15" s="28"/>
      <c r="J15" s="11"/>
      <c r="K15" s="28"/>
      <c r="L15" s="2" t="s">
        <v>22</v>
      </c>
      <c r="M15" s="12"/>
      <c r="N15" s="28"/>
    </row>
    <row r="16" spans="1:14" x14ac:dyDescent="0.25">
      <c r="A16" s="28"/>
      <c r="B16" s="2" t="s">
        <v>23</v>
      </c>
      <c r="C16" s="12"/>
      <c r="D16" s="28"/>
      <c r="E16" s="11"/>
      <c r="F16" s="28"/>
      <c r="G16" s="2" t="s">
        <v>23</v>
      </c>
      <c r="H16" s="12"/>
      <c r="I16" s="28"/>
      <c r="J16" s="11"/>
      <c r="K16" s="28"/>
      <c r="L16" s="2" t="s">
        <v>23</v>
      </c>
      <c r="M16" s="12"/>
      <c r="N16" s="28"/>
    </row>
    <row r="17" spans="1:14" x14ac:dyDescent="0.25">
      <c r="A17" s="29"/>
      <c r="B17" s="2" t="s">
        <v>24</v>
      </c>
      <c r="C17" s="12"/>
      <c r="D17" s="29"/>
      <c r="E17" s="11"/>
      <c r="F17" s="29"/>
      <c r="G17" s="2" t="s">
        <v>24</v>
      </c>
      <c r="H17" s="12"/>
      <c r="I17" s="29"/>
      <c r="J17" s="11"/>
      <c r="K17" s="29"/>
      <c r="L17" s="2" t="s">
        <v>24</v>
      </c>
      <c r="M17" s="12"/>
      <c r="N17" s="29"/>
    </row>
  </sheetData>
  <mergeCells count="24">
    <mergeCell ref="N10:N13"/>
    <mergeCell ref="I14:I17"/>
    <mergeCell ref="K14:K17"/>
    <mergeCell ref="N14:N17"/>
    <mergeCell ref="A6:A9"/>
    <mergeCell ref="A10:A13"/>
    <mergeCell ref="D10:D13"/>
    <mergeCell ref="A14:A17"/>
    <mergeCell ref="D14:D17"/>
    <mergeCell ref="F6:F9"/>
    <mergeCell ref="F10:F13"/>
    <mergeCell ref="F14:F17"/>
    <mergeCell ref="K6:K9"/>
    <mergeCell ref="I10:I13"/>
    <mergeCell ref="K10:K13"/>
    <mergeCell ref="A2:A5"/>
    <mergeCell ref="D2:D5"/>
    <mergeCell ref="I2:I5"/>
    <mergeCell ref="N2:N5"/>
    <mergeCell ref="D6:D9"/>
    <mergeCell ref="I6:I9"/>
    <mergeCell ref="N6:N9"/>
    <mergeCell ref="F2:F5"/>
    <mergeCell ref="K2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4140625" defaultRowHeight="15.75" customHeight="1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5"/>
  <sheetViews>
    <sheetView showGridLines="0" workbookViewId="0"/>
  </sheetViews>
  <sheetFormatPr defaultColWidth="14.44140625" defaultRowHeight="15.75" customHeight="1" x14ac:dyDescent="0.25"/>
  <cols>
    <col min="1" max="1" width="17.33203125" customWidth="1"/>
    <col min="2" max="2" width="19.109375" customWidth="1"/>
    <col min="3" max="3" width="17.33203125" customWidth="1"/>
    <col min="4" max="4" width="14" customWidth="1"/>
    <col min="5" max="5" width="16" customWidth="1"/>
    <col min="8" max="8" width="18.44140625" customWidth="1"/>
    <col min="9" max="9" width="11.6640625" customWidth="1"/>
    <col min="10" max="10" width="33.88671875" customWidth="1"/>
    <col min="11" max="11" width="2.44140625" customWidth="1"/>
    <col min="12" max="12" width="10.88671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4" t="s">
        <v>10</v>
      </c>
      <c r="M1" s="25"/>
    </row>
    <row r="2" spans="1:13" x14ac:dyDescent="0.25">
      <c r="A2" s="2" t="s">
        <v>25</v>
      </c>
      <c r="B2" s="2">
        <v>998</v>
      </c>
      <c r="C2" s="2">
        <v>550</v>
      </c>
      <c r="D2" s="2">
        <v>50</v>
      </c>
      <c r="E2" s="3">
        <f>'Прочие расходы'!D2</f>
        <v>0</v>
      </c>
      <c r="F2" s="6">
        <v>0.12</v>
      </c>
      <c r="G2" s="2">
        <v>55</v>
      </c>
      <c r="H2" s="5">
        <f t="shared" ref="H2:H13" si="0">($L$5*$L$2)*D2</f>
        <v>105</v>
      </c>
      <c r="I2" s="5">
        <f t="shared" ref="I2:I13" si="1">ROUND(((B2*D2)*(1-F2)-G2-(C2*D2)-H2-E2),0)</f>
        <v>16252</v>
      </c>
      <c r="J2" s="5">
        <f t="shared" ref="J2:J13" si="2">ROUND(I2*(1-6%),0)</f>
        <v>15277</v>
      </c>
      <c r="L2" s="26">
        <v>7.0000000000000007E-2</v>
      </c>
      <c r="M2" s="25"/>
    </row>
    <row r="3" spans="1:13" x14ac:dyDescent="0.25">
      <c r="A3" s="2" t="s">
        <v>26</v>
      </c>
      <c r="B3" s="2">
        <v>650</v>
      </c>
      <c r="C3" s="2">
        <v>274</v>
      </c>
      <c r="D3" s="2">
        <v>60</v>
      </c>
      <c r="E3" s="3">
        <f>'Прочие расходы'!D6</f>
        <v>0</v>
      </c>
      <c r="F3" s="6">
        <v>0.12</v>
      </c>
      <c r="G3" s="2">
        <v>55</v>
      </c>
      <c r="H3" s="5">
        <f t="shared" si="0"/>
        <v>126</v>
      </c>
      <c r="I3" s="5">
        <f t="shared" si="1"/>
        <v>17699</v>
      </c>
      <c r="J3" s="5">
        <f t="shared" si="2"/>
        <v>16637</v>
      </c>
    </row>
    <row r="4" spans="1:13" x14ac:dyDescent="0.25">
      <c r="A4" s="2" t="s">
        <v>27</v>
      </c>
      <c r="B4" s="2">
        <v>5000</v>
      </c>
      <c r="C4" s="2">
        <v>462</v>
      </c>
      <c r="D4" s="2">
        <v>1</v>
      </c>
      <c r="E4" s="3">
        <f>'Прочие расходы'!D10</f>
        <v>0</v>
      </c>
      <c r="F4" s="6">
        <v>0.15</v>
      </c>
      <c r="G4" s="2">
        <v>50</v>
      </c>
      <c r="H4" s="5">
        <f t="shared" si="0"/>
        <v>2.1</v>
      </c>
      <c r="I4" s="5">
        <f t="shared" si="1"/>
        <v>3736</v>
      </c>
      <c r="J4" s="5">
        <f t="shared" si="2"/>
        <v>3512</v>
      </c>
      <c r="L4" s="24" t="s">
        <v>13</v>
      </c>
      <c r="M4" s="25"/>
    </row>
    <row r="5" spans="1:13" x14ac:dyDescent="0.25">
      <c r="A5" s="2" t="s">
        <v>28</v>
      </c>
      <c r="B5" s="2">
        <v>3000</v>
      </c>
      <c r="C5" s="2">
        <v>214</v>
      </c>
      <c r="D5" s="2">
        <v>1</v>
      </c>
      <c r="E5" s="3">
        <f>'Прочие расходы'!D14</f>
        <v>0</v>
      </c>
      <c r="F5" s="6">
        <v>0.15</v>
      </c>
      <c r="G5" s="2">
        <v>50</v>
      </c>
      <c r="H5" s="5">
        <f t="shared" si="0"/>
        <v>2.1</v>
      </c>
      <c r="I5" s="5">
        <f t="shared" si="1"/>
        <v>2284</v>
      </c>
      <c r="J5" s="5">
        <f t="shared" si="2"/>
        <v>2147</v>
      </c>
      <c r="L5" s="26">
        <v>30</v>
      </c>
      <c r="M5" s="25"/>
    </row>
    <row r="6" spans="1:13" x14ac:dyDescent="0.25">
      <c r="A6" s="2" t="s">
        <v>29</v>
      </c>
      <c r="B6" s="2">
        <v>4000</v>
      </c>
      <c r="C6" s="2">
        <v>300</v>
      </c>
      <c r="D6" s="2">
        <v>1</v>
      </c>
      <c r="E6" s="3">
        <f>'Прочие расходы'!I2</f>
        <v>0</v>
      </c>
      <c r="F6" s="6">
        <v>0.15</v>
      </c>
      <c r="G6" s="2">
        <v>50</v>
      </c>
      <c r="H6" s="5">
        <f t="shared" si="0"/>
        <v>2.1</v>
      </c>
      <c r="I6" s="5">
        <f t="shared" si="1"/>
        <v>3048</v>
      </c>
      <c r="J6" s="5">
        <f t="shared" si="2"/>
        <v>2865</v>
      </c>
      <c r="L6" s="7"/>
      <c r="M6" s="7"/>
    </row>
    <row r="7" spans="1:13" x14ac:dyDescent="0.25">
      <c r="A7" s="2" t="s">
        <v>30</v>
      </c>
      <c r="B7" s="2">
        <v>4000</v>
      </c>
      <c r="C7" s="2">
        <v>300</v>
      </c>
      <c r="D7" s="2">
        <v>4</v>
      </c>
      <c r="E7" s="3">
        <f>'Прочие расходы'!I6</f>
        <v>0</v>
      </c>
      <c r="F7" s="6">
        <v>0.15</v>
      </c>
      <c r="G7" s="2">
        <v>50</v>
      </c>
      <c r="H7" s="5">
        <f t="shared" si="0"/>
        <v>8.4</v>
      </c>
      <c r="I7" s="5">
        <f t="shared" si="1"/>
        <v>12342</v>
      </c>
      <c r="J7" s="5">
        <f t="shared" si="2"/>
        <v>11601</v>
      </c>
      <c r="L7" s="18" t="s">
        <v>14</v>
      </c>
      <c r="M7" s="19"/>
    </row>
    <row r="8" spans="1:13" x14ac:dyDescent="0.25">
      <c r="A8" s="2" t="s">
        <v>31</v>
      </c>
      <c r="B8" s="2">
        <v>4000</v>
      </c>
      <c r="C8" s="2">
        <v>300</v>
      </c>
      <c r="D8" s="2">
        <v>5</v>
      </c>
      <c r="E8" s="3">
        <f>'Прочие расходы'!I10</f>
        <v>0</v>
      </c>
      <c r="F8" s="6">
        <v>0.15</v>
      </c>
      <c r="G8" s="2">
        <v>50</v>
      </c>
      <c r="H8" s="5">
        <f t="shared" si="0"/>
        <v>10.5</v>
      </c>
      <c r="I8" s="5">
        <f t="shared" si="1"/>
        <v>15440</v>
      </c>
      <c r="J8" s="5">
        <f t="shared" si="2"/>
        <v>14514</v>
      </c>
      <c r="L8" s="20"/>
      <c r="M8" s="21"/>
    </row>
    <row r="9" spans="1:13" x14ac:dyDescent="0.25">
      <c r="A9" s="2" t="s">
        <v>32</v>
      </c>
      <c r="B9" s="2">
        <v>4000</v>
      </c>
      <c r="C9" s="2">
        <v>300</v>
      </c>
      <c r="D9" s="2">
        <v>2</v>
      </c>
      <c r="E9" s="3">
        <f>'Прочие расходы'!I14</f>
        <v>0</v>
      </c>
      <c r="F9" s="6">
        <v>0.15</v>
      </c>
      <c r="G9" s="2">
        <v>50</v>
      </c>
      <c r="H9" s="5">
        <f t="shared" si="0"/>
        <v>4.2</v>
      </c>
      <c r="I9" s="5">
        <f t="shared" si="1"/>
        <v>6146</v>
      </c>
      <c r="J9" s="5">
        <f t="shared" si="2"/>
        <v>5777</v>
      </c>
      <c r="L9" s="22"/>
      <c r="M9" s="23"/>
    </row>
    <row r="10" spans="1:13" x14ac:dyDescent="0.25">
      <c r="A10" s="2" t="s">
        <v>33</v>
      </c>
      <c r="B10" s="2">
        <v>4000</v>
      </c>
      <c r="C10" s="2">
        <v>300</v>
      </c>
      <c r="D10" s="2">
        <v>3</v>
      </c>
      <c r="E10" s="3">
        <f>'Прочие расходы'!N2</f>
        <v>0</v>
      </c>
      <c r="F10" s="6">
        <v>0.15</v>
      </c>
      <c r="G10" s="2">
        <v>50</v>
      </c>
      <c r="H10" s="5">
        <f t="shared" si="0"/>
        <v>6.3000000000000007</v>
      </c>
      <c r="I10" s="5">
        <f t="shared" si="1"/>
        <v>9244</v>
      </c>
      <c r="J10" s="5">
        <f t="shared" si="2"/>
        <v>8689</v>
      </c>
    </row>
    <row r="11" spans="1:13" x14ac:dyDescent="0.25">
      <c r="A11" s="2" t="s">
        <v>34</v>
      </c>
      <c r="B11" s="2">
        <v>4000</v>
      </c>
      <c r="C11" s="2">
        <v>300</v>
      </c>
      <c r="D11" s="2">
        <v>5</v>
      </c>
      <c r="E11" s="3">
        <f>'Прочие расходы'!N6</f>
        <v>0</v>
      </c>
      <c r="F11" s="6">
        <v>0.15</v>
      </c>
      <c r="G11" s="2">
        <v>50</v>
      </c>
      <c r="H11" s="5">
        <f t="shared" si="0"/>
        <v>10.5</v>
      </c>
      <c r="I11" s="5">
        <f t="shared" si="1"/>
        <v>15440</v>
      </c>
      <c r="J11" s="5">
        <f t="shared" si="2"/>
        <v>14514</v>
      </c>
      <c r="L11" s="18" t="s">
        <v>15</v>
      </c>
      <c r="M11" s="19"/>
    </row>
    <row r="12" spans="1:13" x14ac:dyDescent="0.25">
      <c r="A12" s="2" t="s">
        <v>35</v>
      </c>
      <c r="B12" s="2">
        <v>1500</v>
      </c>
      <c r="C12" s="2">
        <v>500</v>
      </c>
      <c r="D12" s="2">
        <v>1</v>
      </c>
      <c r="E12" s="3">
        <f>'Прочие расходы'!N10</f>
        <v>0</v>
      </c>
      <c r="F12" s="6">
        <v>0.15</v>
      </c>
      <c r="G12" s="2">
        <v>50</v>
      </c>
      <c r="H12" s="5">
        <f t="shared" si="0"/>
        <v>2.1</v>
      </c>
      <c r="I12" s="5">
        <f t="shared" si="1"/>
        <v>723</v>
      </c>
      <c r="J12" s="5">
        <f t="shared" si="2"/>
        <v>680</v>
      </c>
      <c r="L12" s="20"/>
      <c r="M12" s="21"/>
    </row>
    <row r="13" spans="1:13" x14ac:dyDescent="0.25">
      <c r="A13" s="2" t="s">
        <v>36</v>
      </c>
      <c r="B13" s="2"/>
      <c r="C13" s="2">
        <v>500</v>
      </c>
      <c r="D13" s="2">
        <v>1</v>
      </c>
      <c r="E13" s="3">
        <f>'Прочие расходы'!N14</f>
        <v>0</v>
      </c>
      <c r="F13" s="6">
        <v>0.15</v>
      </c>
      <c r="G13" s="2">
        <v>50</v>
      </c>
      <c r="H13" s="5">
        <f t="shared" si="0"/>
        <v>2.1</v>
      </c>
      <c r="I13" s="5">
        <f t="shared" si="1"/>
        <v>-552</v>
      </c>
      <c r="J13" s="5">
        <f t="shared" si="2"/>
        <v>-519</v>
      </c>
      <c r="L13" s="20"/>
      <c r="M13" s="21"/>
    </row>
    <row r="14" spans="1:13" x14ac:dyDescent="0.25">
      <c r="A14" s="13"/>
      <c r="B14" s="13"/>
      <c r="C14" s="13"/>
      <c r="D14" s="14"/>
      <c r="E14" s="14"/>
      <c r="F14" s="15"/>
      <c r="G14" s="14"/>
      <c r="H14" s="16"/>
      <c r="I14" s="16"/>
      <c r="J14" s="17"/>
      <c r="L14" s="20"/>
      <c r="M14" s="21"/>
    </row>
    <row r="15" spans="1:13" x14ac:dyDescent="0.25">
      <c r="A15" s="13"/>
      <c r="B15" s="13"/>
      <c r="C15" s="13"/>
      <c r="D15" s="14"/>
      <c r="E15" s="14"/>
      <c r="F15" s="15"/>
      <c r="G15" s="14"/>
      <c r="H15" s="16"/>
      <c r="I15" s="16"/>
      <c r="J15" s="17"/>
      <c r="L15" s="22"/>
      <c r="M15" s="23"/>
    </row>
  </sheetData>
  <mergeCells count="6">
    <mergeCell ref="L11:M15"/>
    <mergeCell ref="L1:M1"/>
    <mergeCell ref="L2:M2"/>
    <mergeCell ref="L4:M4"/>
    <mergeCell ref="L5:M5"/>
    <mergeCell ref="L7:M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41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Расчет прибыли на n-количество </vt:lpstr>
      <vt:lpstr>Лист5</vt:lpstr>
      <vt:lpstr>Прочие расходы</vt:lpstr>
      <vt:lpstr>Лист6</vt:lpstr>
      <vt:lpstr>Лист7</vt:lpstr>
      <vt:lpstr>Лист4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2022-01-16T15:43:43Z</dcterms:modified>
</cp:coreProperties>
</file>